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https://d.docs.live.net/f40ce6fd4828dcae/Desktop/ImFasterThanYoy/ImFasterThanYou/"/>
    </mc:Choice>
  </mc:AlternateContent>
  <xr:revisionPtr revIDLastSave="251" documentId="11_F25DC773A252ABDACC1048D121185DF05BDE58E8" xr6:coauthVersionLast="47" xr6:coauthVersionMax="47" xr10:uidLastSave="{C932BACF-6FC3-4EEB-B5D8-77A17D1D5BFD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chart.v1.0" hidden="1">Sheet1!#REF!</definedName>
    <definedName name="_xlchart.v1.1" hidden="1">Sheet1!$Z$10</definedName>
    <definedName name="_xlchart.v1.2" hidden="1">Sheet1!$Z$2:$Z$13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" i="1" l="1"/>
  <c r="U2" i="1" s="1"/>
  <c r="Z2" i="1" s="1"/>
  <c r="S3" i="1"/>
  <c r="U3" i="1" s="1"/>
  <c r="Z3" i="1" s="1"/>
  <c r="S4" i="1"/>
  <c r="U4" i="1" s="1"/>
  <c r="Z4" i="1" s="1"/>
  <c r="S5" i="1"/>
  <c r="U5" i="1" s="1"/>
  <c r="Z5" i="1" s="1"/>
  <c r="S6" i="1"/>
  <c r="U6" i="1" s="1"/>
  <c r="Z6" i="1" s="1"/>
  <c r="S7" i="1"/>
  <c r="U7" i="1" s="1"/>
  <c r="Z7" i="1" s="1"/>
  <c r="S8" i="1"/>
  <c r="U8" i="1" s="1"/>
  <c r="Z8" i="1" s="1"/>
  <c r="S9" i="1"/>
  <c r="U9" i="1" s="1"/>
  <c r="Z9" i="1" s="1"/>
  <c r="S10" i="1"/>
  <c r="U10" i="1" s="1"/>
  <c r="Z10" i="1" s="1"/>
  <c r="S11" i="1"/>
  <c r="U11" i="1" s="1"/>
  <c r="Z11" i="1" s="1"/>
  <c r="S12" i="1"/>
  <c r="U12" i="1" s="1"/>
  <c r="Z12" i="1" s="1"/>
  <c r="S13" i="1"/>
  <c r="U13" i="1" s="1"/>
  <c r="Z13" i="1" s="1"/>
</calcChain>
</file>

<file path=xl/sharedStrings.xml><?xml version="1.0" encoding="utf-8"?>
<sst xmlns="http://schemas.openxmlformats.org/spreadsheetml/2006/main" count="47" uniqueCount="34">
  <si>
    <t>team</t>
  </si>
  <si>
    <t>projected points</t>
  </si>
  <si>
    <t>actual points</t>
  </si>
  <si>
    <t>mateo</t>
  </si>
  <si>
    <t>trent</t>
  </si>
  <si>
    <t>jake</t>
  </si>
  <si>
    <t>chris</t>
  </si>
  <si>
    <t>cory</t>
  </si>
  <si>
    <t>chat</t>
  </si>
  <si>
    <t>ethan</t>
  </si>
  <si>
    <t>davis</t>
  </si>
  <si>
    <t>lars</t>
  </si>
  <si>
    <t>mike</t>
  </si>
  <si>
    <t>henry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</si>
  <si>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</si>
  <si>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</si>
  <si>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</si>
  <si>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</si>
  <si>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</si>
  <si>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</si>
  <si>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</si>
  <si>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</si>
  <si>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</si>
  <si>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</si>
  <si>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</si>
  <si>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</si>
  <si>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</si>
  <si>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</si>
  <si>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</si>
  <si>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</si>
  <si>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week 17</t>
  </si>
  <si>
    <t>beans</t>
  </si>
  <si>
    <t>binomial</t>
  </si>
  <si>
    <t>luck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</si>
</sst>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Sheet1!$Z$1</c:f>
              <c:strCache>
                <c:ptCount val="1"/>
                <c:pt idx="0">
                  <c:v>luck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Sheet1!$Y$2:$Y$13</c:f>
              <c:strCache>
                <c:ptCount val="12"/>
                <c:pt idx="0">
                  <c:v>mateo</c:v>
                </c:pt>
                <c:pt idx="1">
                  <c:v>trent</c:v>
                </c:pt>
                <c:pt idx="2">
                  <c:v>jake</c:v>
                </c:pt>
                <c:pt idx="3">
                  <c:v>chris</c:v>
                </c:pt>
                <c:pt idx="4">
                  <c:v>cory</c:v>
                </c:pt>
                <c:pt idx="5">
                  <c:v>chat</c:v>
                </c:pt>
                <c:pt idx="6">
                  <c:v>ethan</c:v>
                </c:pt>
                <c:pt idx="7">
                  <c:v>davis</c:v>
                </c:pt>
                <c:pt idx="8">
                  <c:v>lars</c:v>
                </c:pt>
                <c:pt idx="9">
                  <c:v>mike</c:v>
                </c:pt>
                <c:pt idx="10">
                  <c:v>henry</c:v>
                </c:pt>
                <c:pt idx="11">
                  <c:v>beans</c:v>
                </c:pt>
              </c:strCache>
            </c:strRef>
          </c:cat>
          <c:val>
            <c:numRef>
              <c:f>Sheet1!$Z$2:$Z$13</c:f>
              <c:numCache>
                <c:formatCode>General</c:formatCode>
                <c:ptCount val="12"/>
                <c:pt idx="0">
                  <c:v>5.2292284002941614E-5</c:v>
                </c:pt>
                <c:pt idx="1">
                  <c:v>0.2238773083622414</c:v>
                </c:pt>
                <c:pt idx="2">
                  <c:v>3.2915248604455605</c:v>
                </c:pt>
                <c:pt idx="3">
                  <c:v>18.747308307404108</c:v>
                </c:pt>
                <c:pt idx="4">
                  <c:v>0.32179227140058941</c:v>
                </c:pt>
                <c:pt idx="5">
                  <c:v>6.5473644356738747</c:v>
                </c:pt>
                <c:pt idx="6">
                  <c:v>33.12069259835755</c:v>
                </c:pt>
                <c:pt idx="7">
                  <c:v>50.416819362984576</c:v>
                </c:pt>
                <c:pt idx="8">
                  <c:v>37.479328457127025</c:v>
                </c:pt>
                <c:pt idx="9">
                  <c:v>3.4531529846096531</c:v>
                </c:pt>
                <c:pt idx="10">
                  <c:v>49.799173046213305</c:v>
                </c:pt>
                <c:pt idx="11">
                  <c:v>1.9211704049171274E-2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FB-468E-AFD7-D78AE5EFFB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5919055"/>
        <c:axId val="1535918575"/>
      </c:barChart>
      <c:catAx>
        <c:axId val="1535919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5918575"/>
        <c:crosses val="autoZero"/>
        <c:auto val="1"/>
        <c:lblAlgn val="ctr"/>
        <c:lblOffset val="100"/>
        <c:noMultiLvlLbl val="0"/>
      </c:catAx>
      <c:valAx>
        <c:axId val="1535918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5919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160020</xdr:colOff>
      <xdr:row>7</xdr:row>
      <xdr:rowOff>171450</xdr:rowOff>
    </xdr:from>
    <xdr:to>
      <xdr:col>34</xdr:col>
      <xdr:colOff>464820</xdr:colOff>
      <xdr:row>22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31AAC6E-9709-BF14-6E41-82730547BD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3"/>
  <sheetViews>
    <sheetView tabSelected="1" workbookViewId="0">
      <pane xSplit="1" topLeftCell="U1" activePane="topRight" state="frozen"/>
      <selection pane="topRight" activeCell="Y1" sqref="Y1:Z13"/>
    </sheetView>
  </sheetViews>
  <sheetFormatPr defaultRowHeight="14.4" x14ac:dyDescent="0.3"/>
  <cols>
    <col min="21" max="22" width="12" bestFit="1" customWidth="1"/>
  </cols>
  <sheetData>
    <row r="1" spans="1:26" x14ac:dyDescent="0.3">
      <c r="A1" t="s">
        <v>0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1</v>
      </c>
      <c r="T1" t="s">
        <v>2</v>
      </c>
      <c r="U1" t="s">
        <v>32</v>
      </c>
      <c r="Y1" t="s">
        <v>0</v>
      </c>
      <c r="Z1" t="s">
        <v>33</v>
      </c>
    </row>
    <row r="2" spans="1:26" x14ac:dyDescent="0.3">
      <c r="A2" t="s">
        <v>3</v>
      </c>
      <c r="B2">
        <v>119.23</v>
      </c>
      <c r="C2">
        <v>125.39</v>
      </c>
      <c r="D2">
        <v>122.99</v>
      </c>
      <c r="E2">
        <v>118.85</v>
      </c>
      <c r="F2">
        <v>111.46</v>
      </c>
      <c r="G2">
        <v>120.52</v>
      </c>
      <c r="H2">
        <v>124.62</v>
      </c>
      <c r="I2">
        <v>127.1</v>
      </c>
      <c r="J2">
        <v>129.26</v>
      </c>
      <c r="K2">
        <v>135.30000000000001</v>
      </c>
      <c r="L2">
        <v>128.66</v>
      </c>
      <c r="M2">
        <v>111.65</v>
      </c>
      <c r="N2">
        <v>129.03</v>
      </c>
      <c r="O2">
        <v>129.38</v>
      </c>
      <c r="S2">
        <f>B2+C2+D2+E2+F2+G2+H2+I2+J2+K2+L2+M2+N2+O2</f>
        <v>1733.44</v>
      </c>
      <c r="T2">
        <v>1940.44</v>
      </c>
      <c r="U2">
        <f>_xlfn.POISSON.DIST(T2, S2, TRUE)</f>
        <v>0.99999947707715997</v>
      </c>
      <c r="Y2" t="s">
        <v>3</v>
      </c>
      <c r="Z2">
        <f>(1-U2) * 100</f>
        <v>5.2292284002941614E-5</v>
      </c>
    </row>
    <row r="3" spans="1:26" x14ac:dyDescent="0.3">
      <c r="A3" t="s">
        <v>4</v>
      </c>
      <c r="B3">
        <v>125.63</v>
      </c>
      <c r="C3">
        <v>130.97</v>
      </c>
      <c r="D3">
        <v>131.46</v>
      </c>
      <c r="E3">
        <v>127.3</v>
      </c>
      <c r="F3">
        <v>120.23</v>
      </c>
      <c r="G3">
        <v>123.69</v>
      </c>
      <c r="H3">
        <v>125.02</v>
      </c>
      <c r="I3">
        <v>127.81</v>
      </c>
      <c r="J3">
        <v>134.71</v>
      </c>
      <c r="K3">
        <v>134.69999999999999</v>
      </c>
      <c r="L3">
        <v>132.88999999999999</v>
      </c>
      <c r="M3">
        <v>95.04</v>
      </c>
      <c r="N3">
        <v>135.34</v>
      </c>
      <c r="O3">
        <v>137.54</v>
      </c>
      <c r="S3">
        <f t="shared" ref="S3:S13" si="0">B3+C3+D3+E3+F3+G3+H3+I3+J3+K3+L3+M3+N3+O3</f>
        <v>1782.3299999999997</v>
      </c>
      <c r="T3">
        <v>1903.02</v>
      </c>
      <c r="U3">
        <f t="shared" ref="U3:U13" si="1">_xlfn.POISSON.DIST(T3, S3, TRUE)</f>
        <v>0.99776122691637759</v>
      </c>
      <c r="Y3" t="s">
        <v>4</v>
      </c>
      <c r="Z3">
        <f>(1-U3) * 100</f>
        <v>0.2238773083622414</v>
      </c>
    </row>
    <row r="4" spans="1:26" x14ac:dyDescent="0.3">
      <c r="A4" t="s">
        <v>5</v>
      </c>
      <c r="B4">
        <v>100.58</v>
      </c>
      <c r="C4">
        <v>114.06</v>
      </c>
      <c r="D4">
        <v>102.37</v>
      </c>
      <c r="E4">
        <v>101.6</v>
      </c>
      <c r="F4">
        <v>104.13</v>
      </c>
      <c r="G4">
        <v>117.62</v>
      </c>
      <c r="H4">
        <v>120.02</v>
      </c>
      <c r="I4">
        <v>113.45</v>
      </c>
      <c r="J4">
        <v>116.7</v>
      </c>
      <c r="K4">
        <v>131.72</v>
      </c>
      <c r="L4">
        <v>139.69</v>
      </c>
      <c r="M4">
        <v>136.62</v>
      </c>
      <c r="N4">
        <v>133.97</v>
      </c>
      <c r="O4">
        <v>97.31</v>
      </c>
      <c r="S4">
        <f t="shared" si="0"/>
        <v>1629.84</v>
      </c>
      <c r="T4">
        <v>1704.34</v>
      </c>
      <c r="U4">
        <f t="shared" si="1"/>
        <v>0.9670847513955444</v>
      </c>
      <c r="Y4" t="s">
        <v>5</v>
      </c>
      <c r="Z4">
        <f>(1-U4) * 100</f>
        <v>3.2915248604455605</v>
      </c>
    </row>
    <row r="5" spans="1:26" x14ac:dyDescent="0.3">
      <c r="A5" t="s">
        <v>6</v>
      </c>
      <c r="B5">
        <v>128.06</v>
      </c>
      <c r="C5">
        <v>125.09</v>
      </c>
      <c r="D5">
        <v>121.07</v>
      </c>
      <c r="E5">
        <v>110.73</v>
      </c>
      <c r="F5">
        <v>127.02</v>
      </c>
      <c r="G5">
        <v>124.58</v>
      </c>
      <c r="H5">
        <v>127.36</v>
      </c>
      <c r="I5">
        <v>125.55</v>
      </c>
      <c r="J5">
        <v>129.93</v>
      </c>
      <c r="K5">
        <v>123.73</v>
      </c>
      <c r="L5">
        <v>137.88999999999999</v>
      </c>
      <c r="M5">
        <v>125.08</v>
      </c>
      <c r="N5">
        <v>140.31</v>
      </c>
      <c r="O5">
        <v>115.89</v>
      </c>
      <c r="S5">
        <f t="shared" si="0"/>
        <v>1762.2900000000002</v>
      </c>
      <c r="T5">
        <v>1799.14</v>
      </c>
      <c r="U5">
        <f t="shared" si="1"/>
        <v>0.81252691692595891</v>
      </c>
      <c r="Y5" t="s">
        <v>6</v>
      </c>
      <c r="Z5">
        <f>(1-U5) * 100</f>
        <v>18.747308307404108</v>
      </c>
    </row>
    <row r="6" spans="1:26" x14ac:dyDescent="0.3">
      <c r="A6" t="s">
        <v>7</v>
      </c>
      <c r="B6">
        <v>126.22</v>
      </c>
      <c r="C6">
        <v>115.09</v>
      </c>
      <c r="D6">
        <v>118.3</v>
      </c>
      <c r="E6">
        <v>123.07</v>
      </c>
      <c r="F6">
        <v>109.81</v>
      </c>
      <c r="G6">
        <v>122.97</v>
      </c>
      <c r="H6">
        <v>117.85</v>
      </c>
      <c r="I6">
        <v>111.29</v>
      </c>
      <c r="J6">
        <v>93.87</v>
      </c>
      <c r="K6">
        <v>120.86</v>
      </c>
      <c r="L6">
        <v>116.7</v>
      </c>
      <c r="M6">
        <v>116.72</v>
      </c>
      <c r="N6">
        <v>121.85</v>
      </c>
      <c r="O6">
        <v>130.33000000000001</v>
      </c>
      <c r="S6">
        <f t="shared" si="0"/>
        <v>1644.9299999999998</v>
      </c>
      <c r="T6">
        <v>1756.92</v>
      </c>
      <c r="U6">
        <f t="shared" si="1"/>
        <v>0.99678207728599411</v>
      </c>
      <c r="Y6" t="s">
        <v>7</v>
      </c>
      <c r="Z6">
        <f>(1-U6) * 100</f>
        <v>0.32179227140058941</v>
      </c>
    </row>
    <row r="7" spans="1:26" x14ac:dyDescent="0.3">
      <c r="A7" t="s">
        <v>8</v>
      </c>
      <c r="B7">
        <v>129.54</v>
      </c>
      <c r="C7">
        <v>126.51</v>
      </c>
      <c r="D7">
        <v>131.74</v>
      </c>
      <c r="E7">
        <v>131.47999999999999</v>
      </c>
      <c r="F7">
        <v>115.36</v>
      </c>
      <c r="G7">
        <v>121.5</v>
      </c>
      <c r="H7">
        <v>123.83</v>
      </c>
      <c r="I7">
        <v>122.7</v>
      </c>
      <c r="J7">
        <v>124.92</v>
      </c>
      <c r="K7">
        <v>119</v>
      </c>
      <c r="L7">
        <v>110.31</v>
      </c>
      <c r="M7">
        <v>112.87</v>
      </c>
      <c r="N7">
        <v>111.58</v>
      </c>
      <c r="O7">
        <v>121.62</v>
      </c>
      <c r="S7">
        <f t="shared" si="0"/>
        <v>1702.96</v>
      </c>
      <c r="T7">
        <v>1765.18</v>
      </c>
      <c r="U7">
        <f t="shared" si="1"/>
        <v>0.93452635564326125</v>
      </c>
      <c r="Y7" t="s">
        <v>8</v>
      </c>
      <c r="Z7">
        <f>(1-U7) * 100</f>
        <v>6.5473644356738747</v>
      </c>
    </row>
    <row r="8" spans="1:26" x14ac:dyDescent="0.3">
      <c r="A8" t="s">
        <v>9</v>
      </c>
      <c r="B8">
        <v>122</v>
      </c>
      <c r="C8">
        <v>129.25</v>
      </c>
      <c r="D8">
        <v>125.22</v>
      </c>
      <c r="E8">
        <v>123.63</v>
      </c>
      <c r="F8">
        <v>123.21</v>
      </c>
      <c r="G8">
        <v>60.7</v>
      </c>
      <c r="H8">
        <v>100.73</v>
      </c>
      <c r="I8">
        <v>122.56</v>
      </c>
      <c r="J8">
        <v>102.72</v>
      </c>
      <c r="K8">
        <v>102.84</v>
      </c>
      <c r="L8">
        <v>98.35</v>
      </c>
      <c r="M8">
        <v>91.74</v>
      </c>
      <c r="N8">
        <v>105.68</v>
      </c>
      <c r="O8">
        <v>96.07</v>
      </c>
      <c r="S8">
        <f t="shared" si="0"/>
        <v>1504.7</v>
      </c>
      <c r="T8">
        <v>1521.56</v>
      </c>
      <c r="U8">
        <f t="shared" si="1"/>
        <v>0.66879307401642452</v>
      </c>
      <c r="Y8" t="s">
        <v>9</v>
      </c>
      <c r="Z8">
        <f>(1-U8) * 100</f>
        <v>33.12069259835755</v>
      </c>
    </row>
    <row r="9" spans="1:26" x14ac:dyDescent="0.3">
      <c r="A9" t="s">
        <v>10</v>
      </c>
      <c r="B9">
        <v>123.08</v>
      </c>
      <c r="C9">
        <v>106.85</v>
      </c>
      <c r="D9">
        <v>104.65</v>
      </c>
      <c r="E9">
        <v>115.24</v>
      </c>
      <c r="F9">
        <v>118.68</v>
      </c>
      <c r="G9">
        <v>87</v>
      </c>
      <c r="H9">
        <v>119.35</v>
      </c>
      <c r="I9">
        <v>122.93</v>
      </c>
      <c r="J9">
        <v>112.62</v>
      </c>
      <c r="K9">
        <v>121.4</v>
      </c>
      <c r="L9">
        <v>122.98</v>
      </c>
      <c r="M9">
        <v>95.63</v>
      </c>
      <c r="N9">
        <v>130.6</v>
      </c>
      <c r="O9">
        <v>84.07</v>
      </c>
      <c r="S9">
        <f t="shared" si="0"/>
        <v>1565.0799999999997</v>
      </c>
      <c r="T9">
        <v>1564.78</v>
      </c>
      <c r="U9">
        <f t="shared" si="1"/>
        <v>0.49583180637015423</v>
      </c>
      <c r="Y9" t="s">
        <v>10</v>
      </c>
      <c r="Z9">
        <f>(1-U9) * 100</f>
        <v>50.416819362984576</v>
      </c>
    </row>
    <row r="10" spans="1:26" x14ac:dyDescent="0.3">
      <c r="A10" t="s">
        <v>11</v>
      </c>
      <c r="B10">
        <v>126.71</v>
      </c>
      <c r="C10">
        <v>119.1</v>
      </c>
      <c r="D10">
        <v>109.77</v>
      </c>
      <c r="E10">
        <v>124.39</v>
      </c>
      <c r="F10">
        <v>123.51</v>
      </c>
      <c r="G10">
        <v>115.19</v>
      </c>
      <c r="H10">
        <v>120.54</v>
      </c>
      <c r="I10">
        <v>123.31</v>
      </c>
      <c r="J10">
        <v>127.86</v>
      </c>
      <c r="K10">
        <v>110.19</v>
      </c>
      <c r="L10">
        <v>114.84</v>
      </c>
      <c r="M10">
        <v>117.42</v>
      </c>
      <c r="N10">
        <v>125.51</v>
      </c>
      <c r="O10">
        <v>113.26</v>
      </c>
      <c r="S10">
        <f t="shared" si="0"/>
        <v>1671.6</v>
      </c>
      <c r="T10">
        <v>1684.14</v>
      </c>
      <c r="U10">
        <f t="shared" si="1"/>
        <v>0.62520671542872974</v>
      </c>
      <c r="Y10" t="s">
        <v>11</v>
      </c>
      <c r="Z10">
        <f>(1-U10) * 100</f>
        <v>37.479328457127025</v>
      </c>
    </row>
    <row r="11" spans="1:26" x14ac:dyDescent="0.3">
      <c r="A11" t="s">
        <v>12</v>
      </c>
      <c r="B11">
        <v>120.56</v>
      </c>
      <c r="C11">
        <v>127.59</v>
      </c>
      <c r="D11">
        <v>124.55</v>
      </c>
      <c r="E11">
        <v>121.88</v>
      </c>
      <c r="F11">
        <v>130.68</v>
      </c>
      <c r="G11">
        <v>110.98</v>
      </c>
      <c r="H11">
        <v>131.93</v>
      </c>
      <c r="I11">
        <v>129.68</v>
      </c>
      <c r="J11">
        <v>133.49</v>
      </c>
      <c r="K11">
        <v>123.1</v>
      </c>
      <c r="L11">
        <v>125.88</v>
      </c>
      <c r="M11">
        <v>125.59</v>
      </c>
      <c r="N11">
        <v>124.46</v>
      </c>
      <c r="O11">
        <v>115.78</v>
      </c>
      <c r="S11">
        <f t="shared" si="0"/>
        <v>1746.15</v>
      </c>
      <c r="T11">
        <v>1822.08</v>
      </c>
      <c r="U11">
        <f t="shared" si="1"/>
        <v>0.96546847015390347</v>
      </c>
      <c r="Y11" t="s">
        <v>12</v>
      </c>
      <c r="Z11">
        <f>(1-U11) * 100</f>
        <v>3.4531529846096531</v>
      </c>
    </row>
    <row r="12" spans="1:26" x14ac:dyDescent="0.3">
      <c r="A12" t="s">
        <v>13</v>
      </c>
      <c r="B12">
        <v>125.65</v>
      </c>
      <c r="C12">
        <v>122.75</v>
      </c>
      <c r="D12">
        <v>119.58</v>
      </c>
      <c r="E12">
        <v>114.58</v>
      </c>
      <c r="F12">
        <v>89.27</v>
      </c>
      <c r="G12">
        <v>119.67</v>
      </c>
      <c r="H12">
        <v>121.62</v>
      </c>
      <c r="I12">
        <v>124.01</v>
      </c>
      <c r="J12">
        <v>119.27</v>
      </c>
      <c r="K12">
        <v>119.19</v>
      </c>
      <c r="L12">
        <v>110.11</v>
      </c>
      <c r="M12">
        <v>92.88</v>
      </c>
      <c r="N12">
        <v>91.09</v>
      </c>
      <c r="O12">
        <v>56.8</v>
      </c>
      <c r="S12">
        <f t="shared" si="0"/>
        <v>1526.4699999999998</v>
      </c>
      <c r="T12">
        <v>1526.62</v>
      </c>
      <c r="U12">
        <f t="shared" si="1"/>
        <v>0.50200826953786692</v>
      </c>
      <c r="Y12" t="s">
        <v>13</v>
      </c>
      <c r="Z12">
        <f>(1-U12) * 100</f>
        <v>49.799173046213305</v>
      </c>
    </row>
    <row r="13" spans="1:26" x14ac:dyDescent="0.3">
      <c r="A13" t="s">
        <v>31</v>
      </c>
      <c r="B13">
        <v>110.92</v>
      </c>
      <c r="C13">
        <v>113.98</v>
      </c>
      <c r="D13">
        <v>111.24</v>
      </c>
      <c r="E13">
        <v>104.15</v>
      </c>
      <c r="F13">
        <v>108.36</v>
      </c>
      <c r="G13">
        <v>112.68</v>
      </c>
      <c r="H13">
        <v>98.66</v>
      </c>
      <c r="I13">
        <v>112.48</v>
      </c>
      <c r="J13">
        <v>120.22</v>
      </c>
      <c r="K13">
        <v>122.43</v>
      </c>
      <c r="L13">
        <v>108.61</v>
      </c>
      <c r="M13">
        <v>115.18</v>
      </c>
      <c r="N13">
        <v>114.52</v>
      </c>
      <c r="O13">
        <v>126.04</v>
      </c>
      <c r="S13">
        <f t="shared" si="0"/>
        <v>1579.4699999999998</v>
      </c>
      <c r="T13">
        <v>1722.32</v>
      </c>
      <c r="U13">
        <f t="shared" si="1"/>
        <v>0.99980788295950829</v>
      </c>
      <c r="Y13" t="s">
        <v>31</v>
      </c>
      <c r="Z13">
        <f>(1-U13) * 100</f>
        <v>1.9211704049171274E-2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Trent Nosky</dc:creator>
  <cp:lastModifiedBy>Trent Nosky</cp:lastModifiedBy>
  <dcterms:created xsi:type="dcterms:W3CDTF">2015-06-05T18:17:20Z</dcterms:created>
  <dcterms:modified xsi:type="dcterms:W3CDTF">2024-12-30T04:34:19Z</dcterms:modified>
</cp:coreProperties>
</file>